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ukostenberechnung" sheetId="1" state="visible" r:id="rId3"/>
    <sheet name="Kalk PV Strom HK" sheetId="2" state="visible" r:id="rId4"/>
    <sheet name="Preismodulkatalog" sheetId="3" state="visible" r:id="rId5"/>
    <sheet name="Hilfstabell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<sst xmlns="http://schemas.openxmlformats.org/spreadsheetml/2006/main" count="201" uniqueCount="166">
  <si>
    <t xml:space="preserve">ZEV Baukostenberechnung für Mehrfamilienhäuser</t>
  </si>
  <si>
    <t xml:space="preserve">Status</t>
  </si>
  <si>
    <t xml:space="preserve">Entwurf V2</t>
  </si>
  <si>
    <t xml:space="preserve">Datum</t>
  </si>
  <si>
    <t xml:space="preserve">2026-02-22</t>
  </si>
  <si>
    <t xml:space="preserve">Legende</t>
  </si>
  <si>
    <t xml:space="preserve">Eingabefeld (editierbar)</t>
  </si>
  <si>
    <t xml:space="preserve">Berechnetes Feld (Formel)</t>
  </si>
  <si>
    <t xml:space="preserve">Verknüpfung aus anderem Blatt</t>
  </si>
  <si>
    <t xml:space="preserve">BASISANGABEN</t>
  </si>
  <si>
    <t xml:space="preserve">Objektadresse</t>
  </si>
  <si>
    <t xml:space="preserve">Zelgstrasse 25, Bern</t>
  </si>
  <si>
    <t xml:space="preserve">Anzahl Wohnungen</t>
  </si>
  <si>
    <t xml:space="preserve">Zahl eingeben</t>
  </si>
  <si>
    <t xml:space="preserve">Wärmepumpe vorhanden</t>
  </si>
  <si>
    <t xml:space="preserve">nein</t>
  </si>
  <si>
    <t xml:space="preserve">eMobilitätszähler vorhanden</t>
  </si>
  <si>
    <t xml:space="preserve">PV Anlage vorhanden</t>
  </si>
  <si>
    <t xml:space="preserve">ja</t>
  </si>
  <si>
    <t xml:space="preserve">Boiler</t>
  </si>
  <si>
    <t xml:space="preserve">STROMLIEFERANT &amp; TARIF</t>
  </si>
  <si>
    <t xml:space="preserve">Stromlieferant</t>
  </si>
  <si>
    <t xml:space="preserve">EWB</t>
  </si>
  <si>
    <t xml:space="preserve">Strompreis (Rp./kWh)</t>
  </si>
  <si>
    <t xml:space="preserve">aus Tariftabelle</t>
  </si>
  <si>
    <t xml:space="preserve">Einspeisevergütung 2026 inkl. HKN (Rp./kWh)</t>
  </si>
  <si>
    <t xml:space="preserve">ZEV Tarif 80% des Strompreises (Rp./kWh)</t>
  </si>
  <si>
    <t xml:space="preserve">Herstellkosten PV Strom (Rp./kWh)</t>
  </si>
  <si>
    <t xml:space="preserve">aus PV HK-Berechnung</t>
  </si>
  <si>
    <t xml:space="preserve">Stromzählerkosten (CHF/Monat)</t>
  </si>
  <si>
    <t xml:space="preserve">DIENSTLEISTUNGSMODULE</t>
  </si>
  <si>
    <t xml:space="preserve">Abrechnungsmodul</t>
  </si>
  <si>
    <t xml:space="preserve">L</t>
  </si>
  <si>
    <t xml:space="preserve">L=Voll / M=Standard / S=Basis</t>
  </si>
  <si>
    <t xml:space="preserve">Machbarkeitsabklärung</t>
  </si>
  <si>
    <t xml:space="preserve">ZEV Vertragserstellung</t>
  </si>
  <si>
    <t xml:space="preserve">PV &amp; EMS Nutzerportal</t>
  </si>
  <si>
    <t xml:space="preserve">Internetzugang (für Server)</t>
  </si>
  <si>
    <t xml:space="preserve">Begehung</t>
  </si>
  <si>
    <t xml:space="preserve">ZEV KOSTEN (ZUSAMMENFASSUNG)</t>
  </si>
  <si>
    <t xml:space="preserve">Beschreibung</t>
  </si>
  <si>
    <t xml:space="preserve">Betrag (CHF)</t>
  </si>
  <si>
    <t xml:space="preserve">Details</t>
  </si>
  <si>
    <t xml:space="preserve">Einmalige Kosten</t>
  </si>
  <si>
    <t xml:space="preserve">  davon Grundkosten (fix)</t>
  </si>
  <si>
    <t xml:space="preserve">  davon variable Kosten (pro Zähler)</t>
  </si>
  <si>
    <t xml:space="preserve">Wiederkehrende Kosten (pro Jahr)</t>
  </si>
  <si>
    <t xml:space="preserve">  davon variable Kosten (pro NE)</t>
  </si>
  <si>
    <t xml:space="preserve">PV ANLAGE</t>
  </si>
  <si>
    <t xml:space="preserve">Kosten PV Anlage (CHF exkl. MWST)</t>
  </si>
  <si>
    <t xml:space="preserve">Förderung pronovo.ch (CHF)</t>
  </si>
  <si>
    <t xml:space="preserve">Peakleistung PVA (kWp)</t>
  </si>
  <si>
    <t xml:space="preserve">Stromproduktion pro Jahr (kWh)</t>
  </si>
  <si>
    <t xml:space="preserve">Richtwert: 1000 kWh/kWp</t>
  </si>
  <si>
    <t xml:space="preserve">Investitionsbetrag netto (CHF)</t>
  </si>
  <si>
    <t xml:space="preserve">STROMVERBRAUCH RICHTWERTE</t>
  </si>
  <si>
    <t xml:space="preserve">Allgemeinstrom (kWh/Jahr)</t>
  </si>
  <si>
    <t xml:space="preserve">Durchs. Haushaltsverbrauch 3 Pers. (kWh/Jahr)</t>
  </si>
  <si>
    <t xml:space="preserve">Gesamter Stromverbrauch Objekt (kWh/Jahr)</t>
  </si>
  <si>
    <t xml:space="preserve">Allgemein + (Haushalt × Anz. WE)</t>
  </si>
  <si>
    <t xml:space="preserve">RENDITE OHNE ZEV</t>
  </si>
  <si>
    <t xml:space="preserve">Anteil</t>
  </si>
  <si>
    <t xml:space="preserve">CHF/Jahr</t>
  </si>
  <si>
    <t xml:space="preserve">kWh</t>
  </si>
  <si>
    <t xml:space="preserve">Eigenverbrauch (15-25%)</t>
  </si>
  <si>
    <t xml:space="preserve">Einspeisung</t>
  </si>
  <si>
    <t xml:space="preserve">Cashflow pro Jahr</t>
  </si>
  <si>
    <t xml:space="preserve">Amortisationszeit</t>
  </si>
  <si>
    <t xml:space="preserve">RENDITE MIT ZEV</t>
  </si>
  <si>
    <t xml:space="preserve">ZEV-Verkauf an Mieter</t>
  </si>
  <si>
    <t xml:space="preserve">Einspeisung (Rest)</t>
  </si>
  <si>
    <t xml:space="preserve">Amortisationszeit (inkl. ZEV-Investition)</t>
  </si>
  <si>
    <t xml:space="preserve">MIETER-ERSPARNIS (pro Haushalt/Jahr)</t>
  </si>
  <si>
    <t xml:space="preserve">Stromkosteneinsparung (CHF)</t>
  </si>
  <si>
    <t xml:space="preserve">Einspeise-kWh pro Mieter × Tarifvorteil</t>
  </si>
  <si>
    <t xml:space="preserve">Einsparung Zählerkosten (CHF)</t>
  </si>
  <si>
    <t xml:space="preserve">ZEV Abrechnungsgebühr (CHF)</t>
  </si>
  <si>
    <t xml:space="preserve">jährliche Kosten Abrechnungsmodul</t>
  </si>
  <si>
    <t xml:space="preserve">Total Ersparnis pro Mieter/Jahr</t>
  </si>
  <si>
    <t xml:space="preserve">Berechnung der Herstellungskosten kWh PV-Anlage</t>
  </si>
  <si>
    <t xml:space="preserve">Objekt</t>
  </si>
  <si>
    <t xml:space="preserve">Anlage (kWp)</t>
  </si>
  <si>
    <t xml:space="preserve">kWp</t>
  </si>
  <si>
    <t xml:space="preserve">Stromjahresertrag erwartet</t>
  </si>
  <si>
    <t xml:space="preserve">INVESTITIONSKOSTEN</t>
  </si>
  <si>
    <t xml:space="preserve">Betrag</t>
  </si>
  <si>
    <t xml:space="preserve">Offerte PV Anlage exkl. MWST</t>
  </si>
  <si>
    <t xml:space="preserve">CHF</t>
  </si>
  <si>
    <t xml:space="preserve">Rückvergütung pronovo.ch</t>
  </si>
  <si>
    <t xml:space="preserve">Investitionsbetrag netto</t>
  </si>
  <si>
    <t xml:space="preserve">BETRIEBSKOSTEN ÜBER 25 JAHRE</t>
  </si>
  <si>
    <t xml:space="preserve">Unterhaltskosten (1.5% p.a. auf Invest × 25 J.)</t>
  </si>
  <si>
    <t xml:space="preserve">Austausch Wechselrichter</t>
  </si>
  <si>
    <t xml:space="preserve">Lastgangmessung (CHF 10/Mt × 25 J.)</t>
  </si>
  <si>
    <t xml:space="preserve">PV Gesamtkosten über 25 Jahre</t>
  </si>
  <si>
    <t xml:space="preserve">STROMPRODUKTION ÜBER 25 JAHRE</t>
  </si>
  <si>
    <t xml:space="preserve">Produktionsertrag (25 Jahre)</t>
  </si>
  <si>
    <t xml:space="preserve">mit Degradation 80%</t>
  </si>
  <si>
    <t xml:space="preserve">PV Herstellungskosten pro kWh</t>
  </si>
  <si>
    <t xml:space="preserve">Produktpreiskatalog: Optimierung PVA Rentabilität</t>
  </si>
  <si>
    <t xml:space="preserve">nach Modulkastenprinzip, alle Kosten in CHF inkl. MWST</t>
  </si>
  <si>
    <t xml:space="preserve">Dienstleistungsmodule</t>
  </si>
  <si>
    <t xml:space="preserve">Einmalig</t>
  </si>
  <si>
    <t xml:space="preserve">Jährlich</t>
  </si>
  <si>
    <t xml:space="preserve">Hardware</t>
  </si>
  <si>
    <t xml:space="preserve">Bemerkungen</t>
  </si>
  <si>
    <t xml:space="preserve">Abrechnungsmodul LEG</t>
  </si>
  <si>
    <t xml:space="preserve">Tarif des lokalen Energieversorgers</t>
  </si>
  <si>
    <t xml:space="preserve">Abrechnungsmodul L: ZEV/vZEV pro NE</t>
  </si>
  <si>
    <t xml:space="preserve">Datenaufbereitung, Rechnungsversand PDF halbjährlich mit 2 Mahnläufe</t>
  </si>
  <si>
    <t xml:space="preserve">Abrechnungsmodul M: ZEV/vZEV pro NE</t>
  </si>
  <si>
    <t xml:space="preserve">Datenaufbereitung und Rechnungsversand per PDF</t>
  </si>
  <si>
    <t xml:space="preserve">Abrechnungsmodul S: ZEV/vZEV pro NE</t>
  </si>
  <si>
    <t xml:space="preserve">Datenaufbereitung für Verarbeitung Liegenschaftsverwaltung</t>
  </si>
  <si>
    <t xml:space="preserve">Server M: autom. Zählerauslesung (&gt;15 NE)</t>
  </si>
  <si>
    <t xml:space="preserve">Invisia Server &gt; 15 NE</t>
  </si>
  <si>
    <t xml:space="preserve">Server S: autom. Zählerauslesung (≤15 NE)</t>
  </si>
  <si>
    <t xml:space="preserve">Solarmanager bis 15 NE</t>
  </si>
  <si>
    <t xml:space="preserve">Stromverlauf &amp; Rechnungen pro NE</t>
  </si>
  <si>
    <t xml:space="preserve">Internetzugang</t>
  </si>
  <si>
    <t xml:space="preserve">Einbau Server</t>
  </si>
  <si>
    <t xml:space="preserve">Stromzähler: Integration &amp; Lieferung pro NE</t>
  </si>
  <si>
    <t xml:space="preserve">ZEV/vZEV Vertrag</t>
  </si>
  <si>
    <t xml:space="preserve">Vertrag bis 10 TL, danach +50 CHF/TL</t>
  </si>
  <si>
    <t xml:space="preserve">Wird bei PVA Bestellung gutgeschrieben</t>
  </si>
  <si>
    <t xml:space="preserve">Hilfstabelle für Baukostenberechnung</t>
  </si>
  <si>
    <t xml:space="preserve">Alle Berechnungen referenzieren dynamisch die Modulauswahl im Hauptblatt</t>
  </si>
  <si>
    <t xml:space="preserve">ZWISCHENBERECHNUNGEN</t>
  </si>
  <si>
    <t xml:space="preserve">Wert</t>
  </si>
  <si>
    <t xml:space="preserve">Formel / Logik</t>
  </si>
  <si>
    <t xml:space="preserve">Servertyp (automatisch)</t>
  </si>
  <si>
    <t xml:space="preserve">S wenn ≤15 NE, M wenn &gt;15 NE</t>
  </si>
  <si>
    <t xml:space="preserve">Server Kosten einmalig</t>
  </si>
  <si>
    <t xml:space="preserve">Server S=1950, Server M=2950</t>
  </si>
  <si>
    <t xml:space="preserve">Server Kosten jährlich</t>
  </si>
  <si>
    <t xml:space="preserve">Abrechnungsmodul einmalig/NE</t>
  </si>
  <si>
    <t xml:space="preserve">L=50, M=50, S=25</t>
  </si>
  <si>
    <t xml:space="preserve">Abrechnungsmodul jährlich/NE</t>
  </si>
  <si>
    <t xml:space="preserve">L=84, M=36, S=24</t>
  </si>
  <si>
    <t xml:space="preserve">Anzahl Zähler total</t>
  </si>
  <si>
    <t xml:space="preserve">Wohnungen + 1 Allgemein + WP + eMobil</t>
  </si>
  <si>
    <t xml:space="preserve">Kosten pro Zähler (Hardware + Einrichtung)</t>
  </si>
  <si>
    <t xml:space="preserve">Zähler 350 + Abrechnungsmodul einmalig</t>
  </si>
  <si>
    <t xml:space="preserve">Kosten Abrechnungsmodul jährlich pro NE</t>
  </si>
  <si>
    <t xml:space="preserve">EINMALIGE KOSTEN (GRUNDKOSTEN)</t>
  </si>
  <si>
    <t xml:space="preserve">Bedingung</t>
  </si>
  <si>
    <t xml:space="preserve">Server (inkl. Einbau)</t>
  </si>
  <si>
    <t xml:space="preserve">immer inkludiert (Typ abhängig von Anz. NE)</t>
  </si>
  <si>
    <t xml:space="preserve">Grundkosten einmalig TOTAL</t>
  </si>
  <si>
    <t xml:space="preserve">EINMALIGE KOSTEN (VARIABEL)</t>
  </si>
  <si>
    <t xml:space="preserve">Zähler × Kosten pro Stück</t>
  </si>
  <si>
    <t xml:space="preserve">WIEDERKEHRENDE KOSTEN (pro Jahr)</t>
  </si>
  <si>
    <t xml:space="preserve">Server jährlich</t>
  </si>
  <si>
    <t xml:space="preserve">Internetzugang jährlich</t>
  </si>
  <si>
    <t xml:space="preserve">Grundkosten wiederkehrend TOTAL</t>
  </si>
  <si>
    <t xml:space="preserve">Abrechnung pro NE × Anzahl NE</t>
  </si>
  <si>
    <t xml:space="preserve">Variable Kosten wiederkehrend TOTAL</t>
  </si>
  <si>
    <t xml:space="preserve">TARIFE FÜR KENNZAHLENBERECHNUNG</t>
  </si>
  <si>
    <t xml:space="preserve">EWB (Rp./kWh)</t>
  </si>
  <si>
    <t xml:space="preserve">BKW (Rp./kWh)</t>
  </si>
  <si>
    <t xml:space="preserve">Strompreis</t>
  </si>
  <si>
    <t xml:space="preserve">Einspeisevergütung 2026 inkl. HKN</t>
  </si>
  <si>
    <t xml:space="preserve">ZEV Tarif 80% des Strompreises</t>
  </si>
  <si>
    <t xml:space="preserve">Herstellkosten PV Strom</t>
  </si>
  <si>
    <t xml:space="preserve">Stromzählerkosten pro Monat</t>
  </si>
  <si>
    <t xml:space="preserve">ZUSAMMENFASSUNG (Referenz für Hauptblatt)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</si>
</sst>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"/>
    <numFmt numFmtId="167" formatCode="0%"/>
    <numFmt numFmtId="168" formatCode="#,##0.00"/>
    <numFmt numFmtId="169" formatCode="0.0&quot; Jahre&quot;"/>
    <numFmt numFmtId="170" formatCode="0.0000&quot; CHF/kWh&quot;"/>
    <numFmt numFmtId="171" formatCode="@"/>
    <numFmt numFmtId="172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E2F0D9"/>
        <bgColor rgb="FFF2F2F2"/>
      </patternFill>
    </fill>
    <fill>
      <patternFill patternType="solid">
        <fgColor rgb="FFDCEAFB"/>
        <bgColor rgb="FFE2F0D9"/>
      </patternFill>
    </fill>
    <fill>
      <patternFill patternType="solid">
        <fgColor rgb="FF2F5496"/>
        <bgColor rgb="FF0066CC"/>
      </patternFill>
    </fill>
    <fill>
      <patternFill patternType="solid">
        <fgColor rgb="FFF2F2F2"/>
        <bgColor rgb="FFE2F0D9"/>
      </patternFill>
    </fill>
    <fill>
      <patternFill patternType="solid">
        <fgColor rgb="FFFFF2C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DCEA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E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2" t="s">
        <v>0</v>
      </c>
      <c r="D1" s="3" t="s">
        <v>1</v>
      </c>
      <c r="E1" s="4" t="s">
        <v>2</v>
      </c>
    </row>
    <row r="2" customFormat="false" ht="15" hidden="false" customHeight="true" outlineLevel="0" collapsed="false">
      <c r="D2" s="3" t="s">
        <v>3</v>
      </c>
      <c r="E2" s="5" t="s">
        <v>4</v>
      </c>
    </row>
    <row r="4" customFormat="false" ht="15" hidden="false" customHeight="true" outlineLevel="0" collapsed="false">
      <c r="A4" s="3" t="s">
        <v>5</v>
      </c>
    </row>
    <row r="5" customFormat="false" ht="15" hidden="false" customHeight="true" outlineLevel="0" collapsed="false">
      <c r="A5" s="6" t="s">
        <v>6</v>
      </c>
    </row>
    <row r="6" customFormat="false" ht="15" hidden="false" customHeight="true" outlineLevel="0" collapsed="false">
      <c r="A6" s="7" t="s">
        <v>7</v>
      </c>
    </row>
    <row r="7" customFormat="false" ht="15" hidden="false" customHeight="true" outlineLevel="0" collapsed="false">
      <c r="A7" s="8" t="s">
        <v>8</v>
      </c>
    </row>
    <row r="9" customFormat="false" ht="15" hidden="false" customHeight="true" outlineLevel="0" collapsed="false">
      <c r="A9" s="9" t="s">
        <v>9</v>
      </c>
      <c r="B9" s="9"/>
      <c r="C9" s="9"/>
      <c r="D9" s="9"/>
    </row>
    <row r="10" customFormat="false" ht="15" hidden="false" customHeight="true" outlineLevel="0" collapsed="false">
      <c r="A10" s="10" t="s">
        <v>10</v>
      </c>
      <c r="B10" s="6" t="s">
        <v>11</v>
      </c>
    </row>
    <row r="11" customFormat="false" ht="15" hidden="false" customHeight="true" outlineLevel="0" collapsed="false">
      <c r="A11" s="10" t="s">
        <v>12</v>
      </c>
      <c r="B11" s="6" t="n">
        <v>9</v>
      </c>
      <c r="C11" s="11" t="s">
        <v>13</v>
      </c>
    </row>
    <row r="12" customFormat="false" ht="15" hidden="false" customHeight="true" outlineLevel="0" collapsed="false">
      <c r="A12" s="10" t="s">
        <v>14</v>
      </c>
      <c r="B12" s="6" t="s">
        <v>15</v>
      </c>
    </row>
    <row r="13" customFormat="false" ht="15" hidden="false" customHeight="true" outlineLevel="0" collapsed="false">
      <c r="A13" s="10" t="s">
        <v>16</v>
      </c>
      <c r="B13" s="6" t="s">
        <v>15</v>
      </c>
    </row>
    <row r="14" customFormat="false" ht="15" hidden="false" customHeight="true" outlineLevel="0" collapsed="false">
      <c r="A14" s="10" t="s">
        <v>17</v>
      </c>
      <c r="B14" s="6" t="s">
        <v>18</v>
      </c>
    </row>
    <row r="15" customFormat="false" ht="15" hidden="false" customHeight="true" outlineLevel="0" collapsed="false">
      <c r="A15" s="10" t="s">
        <v>19</v>
      </c>
      <c r="B15" s="6" t="s">
        <v>15</v>
      </c>
    </row>
    <row r="17" customFormat="false" ht="15" hidden="false" customHeight="true" outlineLevel="0" collapsed="false">
      <c r="A17" s="9" t="s">
        <v>20</v>
      </c>
      <c r="B17" s="9"/>
      <c r="C17" s="9"/>
      <c r="D17" s="9"/>
    </row>
    <row r="18" customFormat="false" ht="15" hidden="false" customHeight="true" outlineLevel="0" collapsed="false">
      <c r="A18" s="10" t="s">
        <v>21</v>
      </c>
      <c r="B18" s="6" t="s">
        <v>22</v>
      </c>
    </row>
    <row r="19" customFormat="false" ht="15" hidden="false" customHeight="true" outlineLevel="0" collapsed="false">
      <c r="A19" s="10" t="s">
        <v>23</v>
      </c>
      <c r="B19" s="12" t="n">
        <f aca="false">IF(B18="EWB",Hilfstabelle!B39,Hilfstabelle!C39)</f>
        <v>33.48</v>
      </c>
      <c r="C19" s="11" t="s">
        <v>24</v>
      </c>
    </row>
    <row r="20" customFormat="false" ht="15" hidden="false" customHeight="true" outlineLevel="0" collapsed="false">
      <c r="A20" s="10" t="s">
        <v>25</v>
      </c>
      <c r="B20" s="12" t="n">
        <f aca="false">IF(B18="EWB",Hilfstabelle!B40,Hilfstabelle!C40)</f>
        <v>10.96</v>
      </c>
    </row>
    <row r="21" customFormat="false" ht="15" hidden="false" customHeight="true" outlineLevel="0" collapsed="false">
      <c r="A21" s="10" t="s">
        <v>26</v>
      </c>
      <c r="B21" s="12" t="n">
        <f aca="false">ROUND(B19*0.8,2)</f>
        <v>26.78</v>
      </c>
    </row>
    <row r="22" customFormat="false" ht="15" hidden="false" customHeight="true" outlineLevel="0" collapsed="false">
      <c r="A22" s="10" t="s">
        <v>27</v>
      </c>
      <c r="B22" s="13" t="n">
        <f aca="false">'Kalk PV Strom HK'!C23*100</f>
        <v>5.60547630560929</v>
      </c>
      <c r="C22" s="11" t="s">
        <v>28</v>
      </c>
    </row>
    <row r="23" customFormat="false" ht="15" hidden="false" customHeight="true" outlineLevel="0" collapsed="false">
      <c r="A23" s="10" t="s">
        <v>29</v>
      </c>
      <c r="B23" s="12" t="n">
        <f aca="false">IF(B18="EWB",Hilfstabelle!B43,Hilfstabelle!C43)</f>
        <v>8.43</v>
      </c>
    </row>
    <row r="25" customFormat="false" ht="15" hidden="false" customHeight="true" outlineLevel="0" collapsed="false">
      <c r="A25" s="9" t="s">
        <v>30</v>
      </c>
      <c r="B25" s="9"/>
      <c r="C25" s="9"/>
      <c r="D25" s="9"/>
    </row>
    <row r="26" customFormat="false" ht="15" hidden="false" customHeight="true" outlineLevel="0" collapsed="false">
      <c r="A26" s="10" t="s">
        <v>31</v>
      </c>
      <c r="B26" s="6" t="s">
        <v>32</v>
      </c>
      <c r="C26" s="11" t="s">
        <v>33</v>
      </c>
    </row>
    <row r="27" customFormat="false" ht="15" hidden="false" customHeight="true" outlineLevel="0" collapsed="false">
      <c r="A27" s="10" t="s">
        <v>34</v>
      </c>
      <c r="B27" s="6" t="s">
        <v>18</v>
      </c>
    </row>
    <row r="28" customFormat="false" ht="15" hidden="false" customHeight="true" outlineLevel="0" collapsed="false">
      <c r="A28" s="10" t="s">
        <v>35</v>
      </c>
      <c r="B28" s="6" t="s">
        <v>18</v>
      </c>
    </row>
    <row r="29" customFormat="false" ht="15" hidden="false" customHeight="true" outlineLevel="0" collapsed="false">
      <c r="A29" s="10" t="s">
        <v>36</v>
      </c>
      <c r="B29" s="6" t="s">
        <v>18</v>
      </c>
    </row>
    <row r="30" customFormat="false" ht="15" hidden="false" customHeight="true" outlineLevel="0" collapsed="false">
      <c r="A30" s="10" t="s">
        <v>37</v>
      </c>
      <c r="B30" s="6" t="s">
        <v>18</v>
      </c>
    </row>
    <row r="31" customFormat="false" ht="15" hidden="false" customHeight="true" outlineLevel="0" collapsed="false">
      <c r="A31" s="10" t="s">
        <v>38</v>
      </c>
      <c r="B31" s="6" t="s">
        <v>18</v>
      </c>
    </row>
    <row r="33" customFormat="false" ht="15" hidden="false" customHeight="true" outlineLevel="0" collapsed="false">
      <c r="A33" s="9" t="s">
        <v>39</v>
      </c>
      <c r="B33" s="9"/>
      <c r="C33" s="9"/>
      <c r="D33" s="9"/>
    </row>
    <row r="34" customFormat="false" ht="15" hidden="false" customHeight="true" outlineLevel="0" collapsed="false">
      <c r="A34" s="14" t="s">
        <v>40</v>
      </c>
      <c r="B34" s="14" t="s">
        <v>41</v>
      </c>
      <c r="C34" s="14" t="s">
        <v>42</v>
      </c>
    </row>
    <row r="35" customFormat="false" ht="15" hidden="false" customHeight="true" outlineLevel="0" collapsed="false">
      <c r="A35" s="10" t="s">
        <v>43</v>
      </c>
      <c r="B35" s="15" t="n">
        <f aca="false">Hilfstabelle!B23+Hilfstabelle!B26</f>
        <v>8500</v>
      </c>
      <c r="C35" s="16"/>
    </row>
    <row r="36" customFormat="false" ht="15" hidden="false" customHeight="true" outlineLevel="0" collapsed="false">
      <c r="A36" s="17" t="s">
        <v>44</v>
      </c>
      <c r="B36" s="15" t="n">
        <f aca="false">Hilfstabelle!B23</f>
        <v>4500</v>
      </c>
    </row>
    <row r="37" customFormat="false" ht="15" hidden="false" customHeight="true" outlineLevel="0" collapsed="false">
      <c r="A37" s="17" t="s">
        <v>45</v>
      </c>
      <c r="B37" s="15" t="n">
        <f aca="false">Hilfstabelle!B26</f>
        <v>4000</v>
      </c>
      <c r="C37" s="16" t="str">
        <f aca="false">Hilfstabelle!B12&amp;" Zähler × CHF "&amp;TEXT(Hilfstabelle!B13,"#,##0")&amp;"/Stk"</f>
        <v>10 Zähler × CHF 400/Stk</v>
      </c>
    </row>
    <row r="38" customFormat="false" ht="15" hidden="false" customHeight="true" outlineLevel="0" collapsed="false">
      <c r="A38" s="10" t="s">
        <v>46</v>
      </c>
      <c r="B38" s="15" t="n">
        <f aca="false">Hilfstabelle!B32+Hilfstabelle!B35</f>
        <v>1053</v>
      </c>
    </row>
    <row r="39" customFormat="false" ht="15" hidden="false" customHeight="true" outlineLevel="0" collapsed="false">
      <c r="A39" s="17" t="s">
        <v>44</v>
      </c>
      <c r="B39" s="15" t="n">
        <f aca="false">Hilfstabelle!B32</f>
        <v>213</v>
      </c>
    </row>
    <row r="40" customFormat="false" ht="15" hidden="false" customHeight="true" outlineLevel="0" collapsed="false">
      <c r="A40" s="17" t="s">
        <v>47</v>
      </c>
      <c r="B40" s="15" t="n">
        <f aca="false">Hilfstabelle!B35</f>
        <v>840</v>
      </c>
      <c r="C40" s="16" t="str">
        <f aca="false">"("&amp;TEXT(B11+1,"0")&amp;" NE × CHF "&amp;TEXT(Hilfstabelle!B14,"#,##0")&amp;"/NE/Jahr)"</f>
        <v>(10 NE × CHF 84/NE/Jahr)</v>
      </c>
    </row>
    <row r="42" customFormat="false" ht="15" hidden="false" customHeight="true" outlineLevel="0" collapsed="false">
      <c r="A42" s="9" t="s">
        <v>48</v>
      </c>
      <c r="B42" s="9"/>
      <c r="C42" s="9"/>
      <c r="D42" s="9"/>
    </row>
    <row r="43" customFormat="false" ht="15" hidden="false" customHeight="true" outlineLevel="0" collapsed="false">
      <c r="A43" s="10" t="s">
        <v>49</v>
      </c>
      <c r="B43" s="18" t="n">
        <v>31300</v>
      </c>
    </row>
    <row r="44" customFormat="false" ht="15" hidden="false" customHeight="true" outlineLevel="0" collapsed="false">
      <c r="A44" s="10" t="s">
        <v>50</v>
      </c>
      <c r="B44" s="18" t="n">
        <v>-11099</v>
      </c>
    </row>
    <row r="45" customFormat="false" ht="15" hidden="false" customHeight="true" outlineLevel="0" collapsed="false">
      <c r="A45" s="10" t="s">
        <v>51</v>
      </c>
      <c r="B45" s="19" t="n">
        <v>31.02</v>
      </c>
    </row>
    <row r="46" customFormat="false" ht="15" hidden="false" customHeight="true" outlineLevel="0" collapsed="false">
      <c r="A46" s="10" t="s">
        <v>52</v>
      </c>
      <c r="B46" s="20" t="n">
        <f aca="false">B45*1000</f>
        <v>31020</v>
      </c>
      <c r="C46" s="11" t="s">
        <v>53</v>
      </c>
    </row>
    <row r="47" customFormat="false" ht="15" hidden="false" customHeight="true" outlineLevel="0" collapsed="false">
      <c r="A47" s="10" t="s">
        <v>54</v>
      </c>
      <c r="B47" s="15" t="n">
        <f aca="false">'Kalk PV Strom HK'!C11</f>
        <v>20201</v>
      </c>
    </row>
    <row r="49" customFormat="false" ht="15" hidden="false" customHeight="true" outlineLevel="0" collapsed="false">
      <c r="A49" s="9" t="s">
        <v>55</v>
      </c>
      <c r="B49" s="9"/>
      <c r="C49" s="9"/>
      <c r="D49" s="9"/>
    </row>
    <row r="50" customFormat="false" ht="15" hidden="false" customHeight="true" outlineLevel="0" collapsed="false">
      <c r="A50" s="10" t="s">
        <v>56</v>
      </c>
      <c r="B50" s="18" t="n">
        <v>2000</v>
      </c>
    </row>
    <row r="51" customFormat="false" ht="15" hidden="false" customHeight="true" outlineLevel="0" collapsed="false">
      <c r="A51" s="10" t="s">
        <v>57</v>
      </c>
      <c r="B51" s="18" t="n">
        <v>2500</v>
      </c>
    </row>
    <row r="52" customFormat="false" ht="15" hidden="false" customHeight="true" outlineLevel="0" collapsed="false">
      <c r="A52" s="10" t="s">
        <v>58</v>
      </c>
      <c r="B52" s="20" t="n">
        <f aca="false">B50+(B51*B11)</f>
        <v>24500</v>
      </c>
      <c r="C52" s="11" t="s">
        <v>59</v>
      </c>
    </row>
    <row r="54" customFormat="false" ht="15" hidden="false" customHeight="true" outlineLevel="0" collapsed="false">
      <c r="A54" s="9" t="s">
        <v>60</v>
      </c>
      <c r="B54" s="9" t="s">
        <v>61</v>
      </c>
      <c r="C54" s="9" t="s">
        <v>62</v>
      </c>
      <c r="D54" s="9" t="s">
        <v>63</v>
      </c>
    </row>
    <row r="55" customFormat="false" ht="15" hidden="false" customHeight="true" outlineLevel="0" collapsed="false">
      <c r="A55" s="10" t="s">
        <v>64</v>
      </c>
      <c r="B55" s="21" t="n">
        <v>0.2</v>
      </c>
      <c r="C55" s="22" t="n">
        <f aca="false">B55*B46*(B19-B22)/100</f>
        <v>1729.33545</v>
      </c>
      <c r="D55" s="20" t="n">
        <f aca="false">$B$46*B55</f>
        <v>6204</v>
      </c>
    </row>
    <row r="56" customFormat="false" ht="15" hidden="false" customHeight="true" outlineLevel="0" collapsed="false">
      <c r="A56" s="10" t="s">
        <v>65</v>
      </c>
      <c r="B56" s="23" t="n">
        <f aca="false">1-B55</f>
        <v>0.8</v>
      </c>
      <c r="C56" s="22" t="n">
        <f aca="false">B46*B56*(B20-B22)/100</f>
        <v>1328.7786</v>
      </c>
      <c r="D56" s="20" t="n">
        <f aca="false">$B$46*B56</f>
        <v>24816</v>
      </c>
    </row>
    <row r="57" customFormat="false" ht="15" hidden="false" customHeight="true" outlineLevel="0" collapsed="false">
      <c r="A57" s="24" t="s">
        <v>66</v>
      </c>
      <c r="B57" s="25"/>
      <c r="C57" s="26" t="n">
        <f aca="false">SUM(C55:C56)</f>
        <v>3058.11405</v>
      </c>
      <c r="D57" s="25"/>
    </row>
    <row r="58" customFormat="false" ht="15" hidden="false" customHeight="true" outlineLevel="0" collapsed="false">
      <c r="A58" s="24" t="s">
        <v>67</v>
      </c>
      <c r="B58" s="25"/>
      <c r="C58" s="27" t="n">
        <f aca="false">B47/C57</f>
        <v>6.60570523849495</v>
      </c>
      <c r="D58" s="25"/>
    </row>
    <row r="60" customFormat="false" ht="15" hidden="false" customHeight="true" outlineLevel="0" collapsed="false">
      <c r="A60" s="9" t="s">
        <v>68</v>
      </c>
      <c r="B60" s="9" t="s">
        <v>61</v>
      </c>
      <c r="C60" s="9" t="s">
        <v>62</v>
      </c>
      <c r="D60" s="9" t="s">
        <v>63</v>
      </c>
    </row>
    <row r="61" customFormat="false" ht="15" hidden="false" customHeight="true" outlineLevel="0" collapsed="false">
      <c r="A61" s="10" t="s">
        <v>64</v>
      </c>
      <c r="B61" s="21" t="n">
        <v>0.2</v>
      </c>
      <c r="C61" s="22" t="n">
        <f aca="false">B61*B46*(B19-B22)/100</f>
        <v>1729.33545</v>
      </c>
      <c r="D61" s="20" t="n">
        <f aca="false">$B$46*B61</f>
        <v>6204</v>
      </c>
    </row>
    <row r="62" customFormat="false" ht="15" hidden="false" customHeight="true" outlineLevel="0" collapsed="false">
      <c r="A62" s="10" t="s">
        <v>69</v>
      </c>
      <c r="B62" s="21" t="n">
        <v>0.17</v>
      </c>
      <c r="C62" s="22" t="n">
        <f aca="false">B46*B62*(B21-B22)/100</f>
        <v>1116.6173325</v>
      </c>
      <c r="D62" s="20" t="n">
        <f aca="false">$B$46*B62</f>
        <v>5273.4</v>
      </c>
    </row>
    <row r="63" customFormat="false" ht="15" hidden="false" customHeight="true" outlineLevel="0" collapsed="false">
      <c r="A63" s="10" t="s">
        <v>70</v>
      </c>
      <c r="B63" s="23" t="n">
        <f aca="false">1-B61-B62</f>
        <v>0.63</v>
      </c>
      <c r="C63" s="22" t="n">
        <f aca="false">B46*B63*(B20-B22)/100</f>
        <v>1046.4131475</v>
      </c>
      <c r="D63" s="20" t="n">
        <f aca="false">$B$46*B63</f>
        <v>19542.6</v>
      </c>
    </row>
    <row r="64" customFormat="false" ht="15" hidden="false" customHeight="true" outlineLevel="0" collapsed="false">
      <c r="A64" s="24" t="s">
        <v>66</v>
      </c>
      <c r="B64" s="25"/>
      <c r="C64" s="26" t="n">
        <f aca="false">SUM(C61:C63)</f>
        <v>3892.36593</v>
      </c>
      <c r="D64" s="25"/>
    </row>
    <row r="65" customFormat="false" ht="15" hidden="false" customHeight="true" outlineLevel="0" collapsed="false">
      <c r="A65" s="24" t="s">
        <v>71</v>
      </c>
      <c r="B65" s="25"/>
      <c r="C65" s="27" t="n">
        <f aca="false">(B47+B35)/C64</f>
        <v>7.37366437692563</v>
      </c>
      <c r="D65" s="25"/>
    </row>
    <row r="67" customFormat="false" ht="15" hidden="false" customHeight="true" outlineLevel="0" collapsed="false">
      <c r="A67" s="9" t="s">
        <v>72</v>
      </c>
      <c r="B67" s="9"/>
      <c r="C67" s="9"/>
      <c r="D67" s="9"/>
    </row>
    <row r="68" customFormat="false" ht="15" hidden="false" customHeight="true" outlineLevel="0" collapsed="false">
      <c r="A68" s="10" t="s">
        <v>73</v>
      </c>
      <c r="B68" s="22" t="n">
        <f aca="false">D63/B11*(B19-B21)/100</f>
        <v>145.4838</v>
      </c>
      <c r="C68" s="11" t="s">
        <v>74</v>
      </c>
    </row>
    <row r="69" customFormat="false" ht="15" hidden="false" customHeight="true" outlineLevel="0" collapsed="false">
      <c r="A69" s="10" t="s">
        <v>75</v>
      </c>
      <c r="B69" s="22" t="n">
        <f aca="false">B23*12</f>
        <v>101.16</v>
      </c>
    </row>
    <row r="70" customFormat="false" ht="15" hidden="false" customHeight="true" outlineLevel="0" collapsed="false">
      <c r="A70" s="10" t="s">
        <v>76</v>
      </c>
      <c r="B70" s="28" t="n">
        <f aca="false">-Hilfstabelle!B14</f>
        <v>-84</v>
      </c>
      <c r="C70" s="11" t="s">
        <v>77</v>
      </c>
    </row>
    <row r="71" customFormat="false" ht="15" hidden="false" customHeight="true" outlineLevel="0" collapsed="false">
      <c r="A71" s="24" t="s">
        <v>78</v>
      </c>
      <c r="B71" s="26" t="n">
        <f aca="false">SUM(B68:B70)</f>
        <v>162.6438</v>
      </c>
    </row>
  </sheetData>
  <dataValidations count="3">
    <dataValidation allowBlank="false" error="Bitte ja oder nein wählen" errorStyle="stop" operator="between" showDropDown="false" showErrorMessage="false" showInputMessage="false" sqref="B12:B15 B27:B31" type="list">
      <formula1>"ja,nein"</formula1>
      <formula2>0</formula2>
    </dataValidation>
    <dataValidation allowBlank="false" errorStyle="stop" operator="between" showDropDown="false" showErrorMessage="false" showInputMessage="false" sqref="B18" type="list">
      <formula1>"EWB,BKW"</formula1>
      <formula2>0</formula2>
    </dataValidation>
    <dataValidation allowBlank="false" errorStyle="stop" operator="between" showDropDown="false" showErrorMessage="false" showInputMessage="false" sqref="B26" type="list">
      <formula1>"L,M,S"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5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79</v>
      </c>
    </row>
    <row r="3" customFormat="false" ht="15" hidden="false" customHeight="true" outlineLevel="0" collapsed="false">
      <c r="B3" s="10" t="s">
        <v>80</v>
      </c>
      <c r="C3" s="8" t="str">
        <f aca="false">Baukostenberechnung!B10</f>
        <v>Zelgstrasse 25, Bern</v>
      </c>
    </row>
    <row r="5" customFormat="false" ht="15" hidden="false" customHeight="true" outlineLevel="0" collapsed="false">
      <c r="B5" s="10" t="s">
        <v>81</v>
      </c>
      <c r="C5" s="13" t="n">
        <f aca="false">Baukostenberechnung!B45</f>
        <v>31.02</v>
      </c>
      <c r="D5" s="5" t="s">
        <v>82</v>
      </c>
    </row>
    <row r="6" customFormat="false" ht="15" hidden="false" customHeight="true" outlineLevel="0" collapsed="false">
      <c r="B6" s="10" t="s">
        <v>83</v>
      </c>
      <c r="C6" s="15" t="n">
        <f aca="false">Baukostenberechnung!B46</f>
        <v>31020</v>
      </c>
      <c r="D6" s="5" t="s">
        <v>63</v>
      </c>
    </row>
    <row r="8" customFormat="false" ht="15" hidden="false" customHeight="true" outlineLevel="0" collapsed="false">
      <c r="B8" s="14" t="s">
        <v>84</v>
      </c>
      <c r="C8" s="14" t="s">
        <v>85</v>
      </c>
      <c r="D8" s="29"/>
    </row>
    <row r="9" customFormat="false" ht="15" hidden="false" customHeight="true" outlineLevel="0" collapsed="false">
      <c r="B9" s="10" t="s">
        <v>86</v>
      </c>
      <c r="C9" s="15" t="n">
        <f aca="false">Baukostenberechnung!B43</f>
        <v>31300</v>
      </c>
      <c r="D9" s="5" t="s">
        <v>87</v>
      </c>
    </row>
    <row r="10" customFormat="false" ht="15" hidden="false" customHeight="true" outlineLevel="0" collapsed="false">
      <c r="B10" s="10" t="s">
        <v>88</v>
      </c>
      <c r="C10" s="15" t="n">
        <f aca="false">Baukostenberechnung!B44</f>
        <v>-11099</v>
      </c>
      <c r="D10" s="5" t="s">
        <v>87</v>
      </c>
    </row>
    <row r="11" customFormat="false" ht="15" hidden="false" customHeight="true" outlineLevel="0" collapsed="false">
      <c r="B11" s="24" t="s">
        <v>89</v>
      </c>
      <c r="C11" s="30" t="n">
        <f aca="false">C9+C10</f>
        <v>20201</v>
      </c>
      <c r="D11" s="5" t="s">
        <v>87</v>
      </c>
    </row>
    <row r="13" customFormat="false" ht="15" hidden="false" customHeight="true" outlineLevel="0" collapsed="false">
      <c r="B13" s="14" t="s">
        <v>90</v>
      </c>
      <c r="C13" s="29"/>
      <c r="D13" s="29"/>
    </row>
    <row r="14" customFormat="false" ht="15" hidden="false" customHeight="true" outlineLevel="0" collapsed="false">
      <c r="B14" s="10" t="s">
        <v>91</v>
      </c>
      <c r="C14" s="20" t="n">
        <f aca="false">C11*0.015*25</f>
        <v>7575.375</v>
      </c>
      <c r="D14" s="5" t="s">
        <v>87</v>
      </c>
    </row>
    <row r="15" customFormat="false" ht="15" hidden="false" customHeight="true" outlineLevel="0" collapsed="false">
      <c r="B15" s="10" t="s">
        <v>92</v>
      </c>
      <c r="C15" s="18" t="n">
        <v>4000</v>
      </c>
      <c r="D15" s="5" t="s">
        <v>87</v>
      </c>
    </row>
    <row r="16" customFormat="false" ht="15" hidden="false" customHeight="true" outlineLevel="0" collapsed="false">
      <c r="B16" s="10" t="s">
        <v>93</v>
      </c>
      <c r="C16" s="20" t="n">
        <f aca="false">10*12*25</f>
        <v>3000</v>
      </c>
      <c r="D16" s="5" t="s">
        <v>87</v>
      </c>
    </row>
    <row r="17" customFormat="false" ht="15" hidden="false" customHeight="true" outlineLevel="0" collapsed="false">
      <c r="B17" s="24" t="s">
        <v>94</v>
      </c>
      <c r="C17" s="30" t="n">
        <f aca="false">SUM(C11:C16)</f>
        <v>34776.375</v>
      </c>
      <c r="D17" s="5" t="s">
        <v>87</v>
      </c>
    </row>
    <row r="19" customFormat="false" ht="15" hidden="false" customHeight="true" outlineLevel="0" collapsed="false">
      <c r="B19" s="14" t="s">
        <v>95</v>
      </c>
      <c r="C19" s="29"/>
      <c r="D19" s="29"/>
    </row>
    <row r="20" customFormat="false" ht="15" hidden="false" customHeight="true" outlineLevel="0" collapsed="false">
      <c r="B20" s="10" t="s">
        <v>96</v>
      </c>
      <c r="C20" s="20" t="n">
        <f aca="false">C6*25</f>
        <v>775500</v>
      </c>
      <c r="D20" s="5" t="s">
        <v>63</v>
      </c>
    </row>
    <row r="21" customFormat="false" ht="15" hidden="false" customHeight="true" outlineLevel="0" collapsed="false">
      <c r="B21" s="10" t="s">
        <v>97</v>
      </c>
      <c r="C21" s="20" t="n">
        <f aca="false">C20*0.8</f>
        <v>620400</v>
      </c>
      <c r="D21" s="5" t="s">
        <v>63</v>
      </c>
    </row>
    <row r="23" customFormat="false" ht="17.25" hidden="false" customHeight="true" outlineLevel="0" collapsed="false">
      <c r="B23" s="31" t="s">
        <v>98</v>
      </c>
      <c r="C23" s="32" t="n">
        <f aca="false">C17/C21</f>
        <v>0.0560547630560928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B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0"/>
    <col collapsed="false" customWidth="true" hidden="false" outlineLevel="0" max="5" min="3" style="1" width="14"/>
    <col collapsed="false" customWidth="true" hidden="false" outlineLevel="0" max="6" min="6" style="1" width="50"/>
  </cols>
  <sheetData>
    <row r="1" customFormat="false" ht="17.25" hidden="false" customHeight="true" outlineLevel="0" collapsed="false">
      <c r="B1" s="2" t="s">
        <v>99</v>
      </c>
    </row>
    <row r="2" customFormat="false" ht="15" hidden="false" customHeight="true" outlineLevel="0" collapsed="false">
      <c r="B2" s="11" t="s">
        <v>100</v>
      </c>
    </row>
    <row r="4" customFormat="false" ht="15" hidden="false" customHeight="true" outlineLevel="0" collapsed="false">
      <c r="B4" s="9" t="s">
        <v>101</v>
      </c>
      <c r="C4" s="9" t="s">
        <v>102</v>
      </c>
      <c r="D4" s="9" t="s">
        <v>103</v>
      </c>
      <c r="E4" s="9" t="s">
        <v>104</v>
      </c>
      <c r="F4" s="9" t="s">
        <v>105</v>
      </c>
    </row>
    <row r="5" customFormat="false" ht="15" hidden="false" customHeight="true" outlineLevel="0" collapsed="false">
      <c r="B5" s="17" t="s">
        <v>106</v>
      </c>
      <c r="F5" s="16" t="s">
        <v>107</v>
      </c>
    </row>
    <row r="6" customFormat="false" ht="15" hidden="false" customHeight="true" outlineLevel="0" collapsed="false">
      <c r="B6" s="17" t="s">
        <v>108</v>
      </c>
      <c r="C6" s="33" t="n">
        <v>50</v>
      </c>
      <c r="D6" s="33" t="n">
        <v>84</v>
      </c>
      <c r="F6" s="16" t="s">
        <v>109</v>
      </c>
    </row>
    <row r="7" customFormat="false" ht="15" hidden="false" customHeight="true" outlineLevel="0" collapsed="false">
      <c r="B7" s="17" t="s">
        <v>110</v>
      </c>
      <c r="C7" s="33" t="n">
        <v>50</v>
      </c>
      <c r="D7" s="33" t="n">
        <v>36</v>
      </c>
      <c r="F7" s="16" t="s">
        <v>111</v>
      </c>
    </row>
    <row r="8" customFormat="false" ht="15" hidden="false" customHeight="true" outlineLevel="0" collapsed="false">
      <c r="B8" s="17" t="s">
        <v>112</v>
      </c>
      <c r="C8" s="33" t="n">
        <v>25</v>
      </c>
      <c r="D8" s="33" t="n">
        <v>24</v>
      </c>
      <c r="F8" s="16" t="s">
        <v>113</v>
      </c>
    </row>
    <row r="9" customFormat="false" ht="15" hidden="false" customHeight="true" outlineLevel="0" collapsed="false">
      <c r="B9" s="17" t="s">
        <v>114</v>
      </c>
      <c r="C9" s="33" t="n">
        <v>2950</v>
      </c>
      <c r="D9" s="33" t="n">
        <v>120</v>
      </c>
      <c r="F9" s="16" t="s">
        <v>115</v>
      </c>
    </row>
    <row r="10" customFormat="false" ht="15" hidden="false" customHeight="true" outlineLevel="0" collapsed="false">
      <c r="B10" s="17" t="s">
        <v>116</v>
      </c>
      <c r="C10" s="33" t="n">
        <v>1950</v>
      </c>
      <c r="D10" s="33" t="n">
        <v>48</v>
      </c>
      <c r="F10" s="16" t="s">
        <v>117</v>
      </c>
    </row>
    <row r="11" customFormat="false" ht="15" hidden="false" customHeight="true" outlineLevel="0" collapsed="false">
      <c r="B11" s="17" t="s">
        <v>36</v>
      </c>
      <c r="C11" s="33" t="n">
        <v>600</v>
      </c>
      <c r="D11" s="33" t="n">
        <v>121</v>
      </c>
      <c r="F11" s="16" t="s">
        <v>118</v>
      </c>
    </row>
    <row r="12" customFormat="false" ht="15" hidden="false" customHeight="true" outlineLevel="0" collapsed="false">
      <c r="B12" s="17" t="s">
        <v>119</v>
      </c>
      <c r="C12" s="33" t="n">
        <v>400</v>
      </c>
      <c r="D12" s="33" t="n">
        <v>44</v>
      </c>
    </row>
    <row r="13" customFormat="false" ht="15" hidden="false" customHeight="true" outlineLevel="0" collapsed="false">
      <c r="B13" s="17" t="s">
        <v>120</v>
      </c>
      <c r="C13" s="33" t="n">
        <v>500</v>
      </c>
    </row>
    <row r="14" customFormat="false" ht="15" hidden="false" customHeight="true" outlineLevel="0" collapsed="false">
      <c r="B14" s="17" t="s">
        <v>121</v>
      </c>
      <c r="C14" s="33" t="n">
        <v>350</v>
      </c>
    </row>
    <row r="15" customFormat="false" ht="15" hidden="false" customHeight="true" outlineLevel="0" collapsed="false">
      <c r="B15" s="17" t="s">
        <v>122</v>
      </c>
      <c r="C15" s="33" t="n">
        <v>500</v>
      </c>
      <c r="F15" s="16" t="s">
        <v>123</v>
      </c>
    </row>
    <row r="16" customFormat="false" ht="15" hidden="false" customHeight="true" outlineLevel="0" collapsed="false">
      <c r="B16" s="17" t="s">
        <v>38</v>
      </c>
      <c r="C16" s="33" t="n">
        <v>300</v>
      </c>
    </row>
    <row r="17" customFormat="false" ht="15" hidden="false" customHeight="true" outlineLevel="0" collapsed="false">
      <c r="B17" s="17" t="s">
        <v>34</v>
      </c>
      <c r="C17" s="33" t="n">
        <v>250</v>
      </c>
      <c r="F17" s="16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50"/>
    <col collapsed="false" customWidth="true" hidden="false" outlineLevel="0" max="4" min="4" style="1" width="20"/>
  </cols>
  <sheetData>
    <row r="1" customFormat="false" ht="17.25" hidden="false" customHeight="true" outlineLevel="0" collapsed="false">
      <c r="A1" s="2" t="s">
        <v>125</v>
      </c>
    </row>
    <row r="2" customFormat="false" ht="15" hidden="false" customHeight="true" outlineLevel="0" collapsed="false">
      <c r="A2" s="11" t="s">
        <v>126</v>
      </c>
    </row>
    <row r="4" customFormat="false" ht="15" hidden="false" customHeight="true" outlineLevel="0" collapsed="false">
      <c r="A4" s="9" t="s">
        <v>127</v>
      </c>
      <c r="B4" s="9" t="s">
        <v>128</v>
      </c>
      <c r="C4" s="9" t="s">
        <v>129</v>
      </c>
    </row>
    <row r="5" customFormat="false" ht="15" hidden="false" customHeight="true" outlineLevel="0" collapsed="false">
      <c r="A5" s="10" t="s">
        <v>130</v>
      </c>
      <c r="B5" s="34" t="str">
        <f aca="false">IF(Baukostenberechnung!B11&lt;=15,"S","M")</f>
        <v>S</v>
      </c>
      <c r="C5" s="11" t="s">
        <v>131</v>
      </c>
    </row>
    <row r="6" customFormat="false" ht="15" hidden="false" customHeight="true" outlineLevel="0" collapsed="false">
      <c r="A6" s="10" t="s">
        <v>132</v>
      </c>
      <c r="B6" s="20" t="n">
        <f aca="false">IF(B5="S",Preismodulkatalog!C10,Preismodulkatalog!C9)</f>
        <v>1950</v>
      </c>
      <c r="C6" s="11" t="s">
        <v>133</v>
      </c>
    </row>
    <row r="7" customFormat="false" ht="15" hidden="false" customHeight="true" outlineLevel="0" collapsed="false">
      <c r="A7" s="10" t="s">
        <v>134</v>
      </c>
      <c r="B7" s="20" t="n">
        <f aca="false">IF(B5="S",Preismodulkatalog!D10,Preismodulkatalog!D9)</f>
        <v>48</v>
      </c>
    </row>
    <row r="8" customFormat="false" ht="15" hidden="false" customHeight="true" outlineLevel="0" collapsed="false">
      <c r="A8" s="10" t="s">
        <v>120</v>
      </c>
      <c r="B8" s="15" t="n">
        <f aca="false">Preismodulkatalog!C13</f>
        <v>500</v>
      </c>
    </row>
    <row r="9" customFormat="false" ht="15" hidden="false" customHeight="true" outlineLevel="0" collapsed="false">
      <c r="A9" s="10" t="s">
        <v>135</v>
      </c>
      <c r="B9" s="20" t="n">
        <f aca="false">IF(Baukostenberechnung!B26="L",Preismodulkatalog!C6,IF(Baukostenberechnung!B26="M",Preismodulkatalog!C7,Preismodulkatalog!C8))</f>
        <v>50</v>
      </c>
      <c r="C9" s="11" t="s">
        <v>136</v>
      </c>
    </row>
    <row r="10" customFormat="false" ht="15" hidden="false" customHeight="true" outlineLevel="0" collapsed="false">
      <c r="A10" s="10" t="s">
        <v>137</v>
      </c>
      <c r="B10" s="20" t="n">
        <f aca="false">IF(Baukostenberechnung!B26="L",Preismodulkatalog!D6,IF(Baukostenberechnung!B26="M",Preismodulkatalog!D7,Preismodulkatalog!D8))</f>
        <v>84</v>
      </c>
      <c r="C10" s="11" t="s">
        <v>138</v>
      </c>
    </row>
    <row r="12" customFormat="false" ht="15" hidden="false" customHeight="true" outlineLevel="0" collapsed="false">
      <c r="A12" s="10" t="s">
        <v>139</v>
      </c>
      <c r="B12" s="35" t="n">
        <f aca="false">Baukostenberechnung!B11+1+IF(Baukostenberechnung!B12="ja",1,0)+IF(Baukostenberechnung!B13="ja",1,0)</f>
        <v>10</v>
      </c>
      <c r="C12" s="11" t="s">
        <v>140</v>
      </c>
    </row>
    <row r="13" customFormat="false" ht="15" hidden="false" customHeight="true" outlineLevel="0" collapsed="false">
      <c r="A13" s="10" t="s">
        <v>141</v>
      </c>
      <c r="B13" s="20" t="n">
        <f aca="false">Preismodulkatalog!C14+B9</f>
        <v>400</v>
      </c>
      <c r="C13" s="11" t="s">
        <v>142</v>
      </c>
    </row>
    <row r="14" customFormat="false" ht="15" hidden="false" customHeight="true" outlineLevel="0" collapsed="false">
      <c r="A14" s="10" t="s">
        <v>143</v>
      </c>
      <c r="B14" s="20" t="n">
        <f aca="false">B10</f>
        <v>84</v>
      </c>
    </row>
    <row r="16" customFormat="false" ht="15" hidden="false" customHeight="true" outlineLevel="0" collapsed="false">
      <c r="A16" s="9" t="s">
        <v>144</v>
      </c>
      <c r="B16" s="9" t="s">
        <v>87</v>
      </c>
      <c r="C16" s="9" t="s">
        <v>145</v>
      </c>
    </row>
    <row r="17" customFormat="false" ht="15" hidden="false" customHeight="true" outlineLevel="0" collapsed="false">
      <c r="A17" s="17" t="s">
        <v>146</v>
      </c>
      <c r="B17" s="20" t="n">
        <f aca="false">B6+B8</f>
        <v>2450</v>
      </c>
      <c r="C17" s="11" t="s">
        <v>147</v>
      </c>
    </row>
    <row r="18" customFormat="false" ht="15" hidden="false" customHeight="true" outlineLevel="0" collapsed="false">
      <c r="A18" s="17" t="s">
        <v>36</v>
      </c>
      <c r="B18" s="20" t="n">
        <f aca="false">IF(Baukostenberechnung!B29="ja",Preismodulkatalog!C11,0)</f>
        <v>600</v>
      </c>
      <c r="C18" s="11" t="str">
        <f aca="false">IF(Baukostenberechnung!B29="ja","✓ aktiviert","✗ deaktiviert")</f>
        <v>✓ aktiviert</v>
      </c>
    </row>
    <row r="19" customFormat="false" ht="15" hidden="false" customHeight="true" outlineLevel="0" collapsed="false">
      <c r="A19" s="17" t="s">
        <v>119</v>
      </c>
      <c r="B19" s="20" t="n">
        <f aca="false">IF(Baukostenberechnung!B30="ja",Preismodulkatalog!C12,0)</f>
        <v>400</v>
      </c>
      <c r="C19" s="11" t="str">
        <f aca="false">IF(Baukostenberechnung!B30="ja","✓ aktiviert","✗ deaktiviert")</f>
        <v>✓ aktiviert</v>
      </c>
    </row>
    <row r="20" customFormat="false" ht="15" hidden="false" customHeight="true" outlineLevel="0" collapsed="false">
      <c r="A20" s="17" t="s">
        <v>34</v>
      </c>
      <c r="B20" s="20" t="n">
        <f aca="false">IF(Baukostenberechnung!B27="ja",Preismodulkatalog!C17,0)</f>
        <v>250</v>
      </c>
      <c r="C20" s="11" t="str">
        <f aca="false">IF(Baukostenberechnung!B27="ja","✓ aktiviert","✗ deaktiviert")</f>
        <v>✓ aktiviert</v>
      </c>
    </row>
    <row r="21" customFormat="false" ht="15" hidden="false" customHeight="true" outlineLevel="0" collapsed="false">
      <c r="A21" s="17" t="s">
        <v>38</v>
      </c>
      <c r="B21" s="20" t="n">
        <f aca="false">IF(Baukostenberechnung!B31="ja",Preismodulkatalog!C16,0)</f>
        <v>300</v>
      </c>
      <c r="C21" s="11" t="str">
        <f aca="false">IF(Baukostenberechnung!B31="ja","✓ aktiviert","✗ deaktiviert")</f>
        <v>✓ aktiviert</v>
      </c>
    </row>
    <row r="22" customFormat="false" ht="15" hidden="false" customHeight="true" outlineLevel="0" collapsed="false">
      <c r="A22" s="17" t="s">
        <v>35</v>
      </c>
      <c r="B22" s="20" t="n">
        <f aca="false">IF(Baukostenberechnung!B28="ja",Preismodulkatalog!C15+IF(Baukostenberechnung!B11&gt;10,(Baukostenberechnung!B11-10)*50,0),0)</f>
        <v>500</v>
      </c>
      <c r="C22" s="11" t="str">
        <f aca="false">IF(Baukostenberechnung!B28="ja","✓ 500 + "&amp;IF(Baukostenberechnung!B11&gt;10,(Baukostenberechnung!B11-10)&amp;" × 50 Zusatz-TL","bis 10 TL inkl."),"✗ deaktiviert")</f>
        <v>✓ 500 + bis 10 TL inkl.</v>
      </c>
    </row>
    <row r="23" customFormat="false" ht="15" hidden="false" customHeight="true" outlineLevel="0" collapsed="false">
      <c r="A23" s="24" t="s">
        <v>148</v>
      </c>
      <c r="B23" s="30" t="n">
        <f aca="false">SUM(B17:B22)</f>
        <v>4500</v>
      </c>
    </row>
    <row r="25" customFormat="false" ht="15" hidden="false" customHeight="true" outlineLevel="0" collapsed="false">
      <c r="A25" s="9" t="s">
        <v>149</v>
      </c>
      <c r="B25" s="9" t="s">
        <v>87</v>
      </c>
      <c r="C25" s="36"/>
    </row>
    <row r="26" customFormat="false" ht="15" hidden="false" customHeight="true" outlineLevel="0" collapsed="false">
      <c r="A26" s="17" t="s">
        <v>150</v>
      </c>
      <c r="B26" s="20" t="n">
        <f aca="false">B12*B13</f>
        <v>4000</v>
      </c>
      <c r="C26" s="11" t="str">
        <f aca="false">TEXT(B12,"0")&amp;" Zähler × CHF "&amp;TEXT(B13,"#,##0")</f>
        <v>10 Zähler × CHF 400</v>
      </c>
    </row>
    <row r="28" customFormat="false" ht="15" hidden="false" customHeight="true" outlineLevel="0" collapsed="false">
      <c r="A28" s="9" t="s">
        <v>151</v>
      </c>
      <c r="B28" s="9" t="s">
        <v>62</v>
      </c>
      <c r="C28" s="36"/>
    </row>
    <row r="29" customFormat="false" ht="15" hidden="false" customHeight="true" outlineLevel="0" collapsed="false">
      <c r="A29" s="17" t="s">
        <v>36</v>
      </c>
      <c r="B29" s="20" t="n">
        <f aca="false">IF(Baukostenberechnung!B29="ja",Preismodulkatalog!D11,0)</f>
        <v>121</v>
      </c>
    </row>
    <row r="30" customFormat="false" ht="15" hidden="false" customHeight="true" outlineLevel="0" collapsed="false">
      <c r="A30" s="17" t="s">
        <v>152</v>
      </c>
      <c r="B30" s="20" t="n">
        <f aca="false">B7</f>
        <v>48</v>
      </c>
    </row>
    <row r="31" customFormat="false" ht="15" hidden="false" customHeight="true" outlineLevel="0" collapsed="false">
      <c r="A31" s="17" t="s">
        <v>153</v>
      </c>
      <c r="B31" s="20" t="n">
        <f aca="false">IF(Baukostenberechnung!B30="ja",Preismodulkatalog!D12,0)</f>
        <v>44</v>
      </c>
    </row>
    <row r="32" customFormat="false" ht="15" hidden="false" customHeight="true" outlineLevel="0" collapsed="false">
      <c r="A32" s="24" t="s">
        <v>154</v>
      </c>
      <c r="B32" s="30" t="n">
        <f aca="false">SUM(B29:B31)</f>
        <v>213</v>
      </c>
    </row>
    <row r="34" customFormat="false" ht="15" hidden="false" customHeight="true" outlineLevel="0" collapsed="false">
      <c r="A34" s="17" t="s">
        <v>155</v>
      </c>
      <c r="B34" s="20" t="n">
        <f aca="false">(Baukostenberechnung!B11+1)*B14</f>
        <v>840</v>
      </c>
      <c r="C34" s="11" t="str">
        <f aca="false">TEXT(Baukostenberechnung!B11+1,"0")&amp;" NE × CHF "&amp;TEXT(B14,"#,##0")&amp;"/NE"</f>
        <v>10 NE × CHF 84/NE</v>
      </c>
    </row>
    <row r="35" customFormat="false" ht="15" hidden="false" customHeight="true" outlineLevel="0" collapsed="false">
      <c r="A35" s="24" t="s">
        <v>156</v>
      </c>
      <c r="B35" s="30" t="n">
        <f aca="false">B34</f>
        <v>840</v>
      </c>
    </row>
    <row r="38" customFormat="false" ht="15" hidden="false" customHeight="true" outlineLevel="0" collapsed="false">
      <c r="A38" s="9" t="s">
        <v>157</v>
      </c>
      <c r="B38" s="9" t="s">
        <v>158</v>
      </c>
      <c r="C38" s="9" t="s">
        <v>159</v>
      </c>
    </row>
    <row r="39" customFormat="false" ht="15" hidden="false" customHeight="true" outlineLevel="0" collapsed="false">
      <c r="A39" s="10" t="s">
        <v>160</v>
      </c>
      <c r="B39" s="19" t="n">
        <f aca="false">14.05+13.3+0.29+0.05+0.44+2.86+2.49</f>
        <v>33.48</v>
      </c>
      <c r="C39" s="19" t="n">
        <v>22.1</v>
      </c>
    </row>
    <row r="40" customFormat="false" ht="15" hidden="false" customHeight="true" outlineLevel="0" collapsed="false">
      <c r="A40" s="10" t="s">
        <v>161</v>
      </c>
      <c r="B40" s="19" t="n">
        <v>10.96</v>
      </c>
      <c r="C40" s="19" t="n">
        <v>9</v>
      </c>
    </row>
    <row r="41" customFormat="false" ht="15" hidden="false" customHeight="true" outlineLevel="0" collapsed="false">
      <c r="A41" s="10" t="s">
        <v>162</v>
      </c>
      <c r="B41" s="12" t="n">
        <f aca="false">ROUND(B39*0.8,2)</f>
        <v>26.78</v>
      </c>
      <c r="C41" s="12" t="n">
        <f aca="false">ROUND(C39*0.8,2)</f>
        <v>17.68</v>
      </c>
    </row>
    <row r="42" customFormat="false" ht="15" hidden="false" customHeight="true" outlineLevel="0" collapsed="false">
      <c r="A42" s="10" t="s">
        <v>163</v>
      </c>
      <c r="B42" s="13" t="n">
        <f aca="false">ROUND('Kalk PV Strom HK'!C23*100,2)</f>
        <v>5.61</v>
      </c>
      <c r="C42" s="19" t="n">
        <v>8</v>
      </c>
    </row>
    <row r="43" customFormat="false" ht="15" hidden="false" customHeight="true" outlineLevel="0" collapsed="false">
      <c r="A43" s="10" t="s">
        <v>164</v>
      </c>
      <c r="B43" s="19" t="n">
        <v>8.43</v>
      </c>
      <c r="C43" s="12" t="n">
        <f aca="false">214/12+1.081</f>
        <v>18.9143333333333</v>
      </c>
    </row>
    <row r="46" customFormat="false" ht="15" hidden="false" customHeight="true" outlineLevel="0" collapsed="false">
      <c r="A46" s="9" t="s">
        <v>165</v>
      </c>
      <c r="B46" s="36"/>
      <c r="C46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2026-02-22T10:44:59Z</dcterms:created>
  <dc:creator>openpyxl</dc:creator>
  <dc:description/>
  <dc:language>en-US</dc:language>
  <cp:lastModifiedBy/>
  <dcterms:modified xsi:type="dcterms:W3CDTF">2026-02-22T10:46:03Z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